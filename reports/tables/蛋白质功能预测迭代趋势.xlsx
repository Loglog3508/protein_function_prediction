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222cbb6f5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迭代趋势" sheetId="1" r:id="Raa172adfa2624a6f"/>
    <x:sheet xmlns:r="http://schemas.openxmlformats.org/officeDocument/2006/relationships" name="趋势图数据" sheetId="2" r:id="R8629299437de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+0.000000;-0.000000;0.000000"/>
  </x:numFmts>
  <x:fonts count="12">
    <x:font>
      <x:sz val="11"/>
      <x:name val="Carlito"/>
    </x:font>
    <x:font>
      <x:b/>
      <x:sz val="15"/>
      <x:color rgb="FF17324D"/>
      <x:name val="Microsoft YaHei"/>
    </x:font>
    <x:font>
      <x:i/>
      <x:sz val="10"/>
      <x:color rgb="FF52616B"/>
      <x:name val="Microsoft YaHei"/>
    </x:font>
    <x:font>
      <x:b/>
      <x:sz val="10"/>
      <x:color rgb="FFFFFFFF"/>
      <x:name val="Microsoft YaHei"/>
    </x:font>
    <x:font>
      <x:sz val="10"/>
      <x:color rgb="FF263238"/>
      <x:name val="Microsoft YaHei"/>
    </x:font>
    <x:font>
      <x:b/>
      <x:sz val="10"/>
      <x:color rgb="FF17324D"/>
      <x:name val="Microsoft YaHei"/>
    </x:font>
    <x:font>
      <x:sz val="10"/>
      <x:color rgb="FF5C4A1B"/>
      <x:name val="Microsoft YaHei"/>
    </x:font>
    <x:font>
      <x:b/>
      <x:sz val="10"/>
      <x:color rgb="FF334E5B"/>
      <x:name val="Microsoft YaHei"/>
    </x:font>
    <x:font>
      <x:sz val="9"/>
      <x:color rgb="FF52616B"/>
      <x:name val="Microsoft YaHei"/>
    </x:font>
    <x:font>
      <x:sz val="11"/>
      <x:name val="Microsoft YaHei"/>
    </x:font>
    <x:font>
      <x:b/>
      <x:sz val="10"/>
      <x:color rgb="FF17365D"/>
      <x:name val="Arial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FFF3D6"/>
      </x:patternFill>
    </x:fill>
    <x:fill>
      <x:patternFill patternType="solid">
        <x:fgColor rgb="FF4F6D7A"/>
      </x:patternFill>
    </x:fill>
    <x:fill>
      <x:patternFill patternType="solid">
        <x:fgColor rgb="FFDCE8F1"/>
      </x:patternFill>
    </x:fill>
    <x:fill>
      <x:patternFill patternType="solid">
        <x:fgColor rgb="FFFFF9E8"/>
      </x:patternFill>
    </x:fill>
    <x:fill>
      <x:patternFill patternType="solid">
        <x:fgColor rgb="FFEEF3F6"/>
      </x:patternFill>
    </x:fill>
    <x:fill>
      <x:patternFill patternType="solid">
        <x:fgColor rgb="FFD99A2B"/>
      </x:patternFill>
    </x:fill>
    <x:fill>
      <x:patternFill patternType="solid">
        <x:fgColor rgb="FFDCE6ED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37">
    <x:border/>
    <x:border>
      <x:bottom style="medium">
        <x:color rgb="FF6B879C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  <x:border>
      <x:right style="thin">
        <x:color rgb="FFE6EDF1"/>
      </x:right>
      <x:bottom style="thin">
        <x:color rgb="FFD9E2E8"/>
      </x:bottom>
    </x:border>
    <x:border>
      <x:left style="thin">
        <x:color rgb="FFE6EDF1"/>
      </x:left>
      <x:right style="thin">
        <x:color rgb="FFE6EDF1"/>
      </x:right>
      <x:bottom style="thin">
        <x:color rgb="FFD9E2E8"/>
      </x:bottom>
    </x:border>
    <x:border>
      <x:left style="thin">
        <x:color rgb="FFE6EDF1"/>
      </x:left>
      <x:bottom style="thin">
        <x:color rgb="FFD9E2E8"/>
      </x:bottom>
    </x:border>
    <x:border>
      <x:right style="thin">
        <x:color rgb="FFE6EDF1"/>
      </x:right>
      <x:top style="thin">
        <x:color rgb="FFD9E2E8"/>
      </x:top>
      <x:bottom style="thin">
        <x:color rgb="FFD9E2E8"/>
      </x:bottom>
    </x:border>
    <x:border>
      <x:left style="thin">
        <x:color rgb="FFE6EDF1"/>
      </x:left>
      <x:right style="thin">
        <x:color rgb="FFE6EDF1"/>
      </x:right>
      <x:top style="thin">
        <x:color rgb="FFD9E2E8"/>
      </x:top>
      <x:bottom style="thin">
        <x:color rgb="FFD9E2E8"/>
      </x:bottom>
    </x:border>
    <x:border>
      <x:left style="thin">
        <x:color rgb="FFE6EDF1"/>
      </x:left>
      <x:top style="thin">
        <x:color rgb="FFD9E2E8"/>
      </x:top>
      <x:bottom style="thin">
        <x:color rgb="FFD9E2E8"/>
      </x:bottom>
    </x:border>
    <x:border>
      <x:right style="thin">
        <x:color rgb="FFE6EDF1"/>
      </x:right>
      <x:top style="thin">
        <x:color rgb="FFD9E2E8"/>
      </x:top>
      <x:bottom style="thin">
        <x:color rgb="FFB8C7D1"/>
      </x:bottom>
    </x:border>
    <x:border>
      <x:left style="thin">
        <x:color rgb="FFE6EDF1"/>
      </x:left>
      <x:right style="thin">
        <x:color rgb="FFE6EDF1"/>
      </x:right>
      <x:top style="thin">
        <x:color rgb="FFD9E2E8"/>
      </x:top>
      <x:bottom style="thin">
        <x:color rgb="FFB8C7D1"/>
      </x:bottom>
    </x:border>
    <x:border>
      <x:left style="thin">
        <x:color rgb="FFE6EDF1"/>
      </x:left>
      <x:top style="thin">
        <x:color rgb="FFD9E2E8"/>
      </x:top>
      <x:bottom style="thin">
        <x:color rgb="FFB8C7D1"/>
      </x:bottom>
    </x:border>
    <x:border>
      <x:right style="thin">
        <x:color rgb="FFE6EDF1"/>
      </x:right>
      <x:top style="medium">
        <x:color rgb="FFD99A2B"/>
      </x:top>
      <x:bottom style="medium">
        <x:color rgb="FFD99A2B"/>
      </x:bottom>
    </x:border>
    <x:border>
      <x:left style="thin">
        <x:color rgb="FFE6EDF1"/>
      </x:left>
      <x:right style="thin">
        <x:color rgb="FFE6EDF1"/>
      </x:right>
      <x:top style="medium">
        <x:color rgb="FFD99A2B"/>
      </x:top>
      <x:bottom style="medium">
        <x:color rgb="FFD99A2B"/>
      </x:bottom>
    </x:border>
    <x:border>
      <x:bottom style="medium">
        <x:color rgb="FF334E5B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top style="medium">
        <x:color rgb="FF6B879C"/>
      </x:top>
      <x:bottom style="thin">
        <x:color rgb="FFAFC4D3"/>
      </x:bottom>
    </x:border>
    <x:border>
      <x:left style="thin">
        <x:color rgb="FFE4C66A"/>
      </x:left>
      <x:top style="thin">
        <x:color rgb="FFE4C66A"/>
      </x:top>
    </x:border>
    <x:border>
      <x:top style="thin">
        <x:color rgb="FFE4C66A"/>
      </x:top>
    </x:border>
    <x:border>
      <x:right style="thin">
        <x:color rgb="FFE4C66A"/>
      </x:right>
      <x:top style="thin">
        <x:color rgb="FFE4C66A"/>
      </x:top>
    </x:border>
    <x:border>
      <x:left style="thin">
        <x:color rgb="FFE4C66A"/>
      </x:left>
      <x:bottom style="thin">
        <x:color rgb="FFE4C66A"/>
      </x:bottom>
    </x:border>
    <x:border>
      <x:bottom style="thin">
        <x:color rgb="FFE4C66A"/>
      </x:bottom>
    </x:border>
    <x:border>
      <x:right style="thin">
        <x:color rgb="FFE4C66A"/>
      </x:right>
      <x:bottom style="thin">
        <x:color rgb="FFE4C66A"/>
      </x:bottom>
    </x:border>
    <x:border>
      <x:bottom style="thin">
        <x:color rgb="FFC5D2DA"/>
      </x:bottom>
    </x:border>
    <x:border>
      <x:left style="thin">
        <x:color rgb="FFD99A2B"/>
      </x:left>
      <x:top style="thin">
        <x:color rgb="FFD99A2B"/>
      </x:top>
    </x:border>
    <x:border>
      <x:top style="thin">
        <x:color rgb="FFD99A2B"/>
      </x:top>
    </x:border>
    <x:border>
      <x:right style="thin">
        <x:color rgb="FFD99A2B"/>
      </x:right>
      <x:top style="thin">
        <x:color rgb="FFD99A2B"/>
      </x:top>
    </x:border>
    <x:border>
      <x:left style="thin">
        <x:color rgb="FFD99A2B"/>
      </x:left>
    </x:border>
    <x:border>
      <x:right style="thin">
        <x:color rgb="FFD99A2B"/>
      </x:right>
    </x:border>
    <x:border>
      <x:left style="thin">
        <x:color rgb="FFD99A2B"/>
      </x:left>
      <x:bottom style="thin">
        <x:color rgb="FFD99A2B"/>
      </x:bottom>
    </x:border>
    <x:border>
      <x:bottom style="thin">
        <x:color rgb="FFD99A2B"/>
      </x:bottom>
    </x:border>
    <x:border>
      <x:right style="thin">
        <x:color rgb="FFD99A2B"/>
      </x:right>
      <x:bottom style="thin">
        <x:color rgb="FFD99A2B"/>
      </x:bottom>
    </x:border>
    <x:border>
      <x:bottom style="thin">
        <x:color rgb="FFB4C6D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9" xfId="0" applyNumberFormat="1" applyFont="1" applyFill="1" applyBorder="1" applyAlignment="1">
      <x:alignment horizontal="center" vertical="center"/>
    </x:xf>
    <x:xf numFmtId="200" fontId="4" fillId="0" borderId="12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2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1" fontId="4" fillId="0" borderId="9" xfId="0" applyNumberFormat="1" applyFont="1" applyFill="1" applyBorder="1" applyAlignment="1">
      <x:alignment horizontal="right" vertical="center"/>
    </x:xf>
    <x:xf numFmtId="201" fontId="4" fillId="0" borderId="12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201" fontId="5" fillId="0" borderId="9" xfId="0" applyNumberFormat="1" applyFont="1" applyFill="1" applyBorder="1" applyAlignment="1">
      <x:alignment horizontal="right" vertical="center"/>
    </x:xf>
    <x:xf numFmtId="201" fontId="5" fillId="0" borderId="12" xfId="0" applyNumberFormat="1" applyFont="1" applyFill="1" applyBorder="1" applyAlignment="1">
      <x:alignment horizontal="right" vertical="center"/>
    </x:xf>
    <x:xf numFmtId="0" fontId="4" fillId="3" borderId="11" xfId="0" applyNumberFormat="1" applyFont="1" applyFill="1" applyBorder="1" applyAlignment="1">
      <x:alignment horizontal="center" vertical="center"/>
    </x:xf>
    <x:xf numFmtId="200" fontId="4" fillId="3" borderId="12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vertical="center" wrapText="1"/>
    </x:xf>
    <x:xf numFmtId="201" fontId="5" fillId="3" borderId="12" xfId="0" applyNumberFormat="1" applyFont="1" applyFill="1" applyBorder="1" applyAlignment="1">
      <x:alignment horizontal="right" vertical="center"/>
    </x:xf>
    <x:xf numFmtId="201" fontId="4" fillId="3" borderId="12" xfId="0" applyNumberFormat="1" applyFont="1" applyFill="1" applyBorder="1" applyAlignment="1">
      <x:alignment horizontal="right" vertical="center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horizontal="center" vertical="center"/>
    </x:xf>
    <x:xf numFmtId="200" fontId="4" fillId="3" borderId="15" xfId="0" applyNumberFormat="1" applyFont="1" applyFill="1" applyBorder="1" applyAlignment="1">
      <x:alignment horizontal="center" vertical="center"/>
    </x:xf>
    <x:xf numFmtId="0" fontId="4" fillId="3" borderId="15" xfId="0" applyNumberFormat="1" applyFont="1" applyFill="1" applyBorder="1" applyAlignment="1">
      <x:alignment vertical="center" wrapText="1"/>
    </x:xf>
    <x:xf numFmtId="201" fontId="5" fillId="3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6" xfId="0" applyNumberFormat="1" applyFont="1" applyFill="1" applyBorder="1"/>
    <x:xf numFmtId="0" fontId="3" fillId="4" borderId="16" xfId="0" applyNumberFormat="1" applyFont="1" applyFill="1" applyBorder="1" applyAlignment="1">
      <x:alignment horizontal="center"/>
    </x:xf>
    <x:xf numFmtId="0" fontId="3" fillId="4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 wrapText="1"/>
    </x:xf>
    <x:xf numFmtId="0" fontId="4" fillId="0" borderId="18" xfId="0" applyNumberFormat="1" applyFont="1" applyFill="1" applyBorder="1" applyAlignment="1">
      <x:alignment horizontal="center" vertical="center" wrapText="1"/>
    </x:xf>
    <x:xf numFmtId="0" fontId="4" fillId="0" borderId="19" xfId="0" applyNumberFormat="1" applyFont="1" applyFill="1" applyBorder="1" applyAlignment="1">
      <x:alignment horizontal="center" vertical="center" wrapText="1"/>
    </x:xf>
    <x:xf numFmtId="0" fontId="4" fillId="0" borderId="17" xfId="0" applyNumberFormat="1" applyFont="1" applyFill="1" applyBorder="1" applyAlignment="1">
      <x:alignment horizontal="right" vertical="center"/>
    </x:xf>
    <x:xf numFmtId="0" fontId="4" fillId="0" borderId="18" xfId="0" applyNumberFormat="1" applyFont="1" applyFill="1" applyBorder="1" applyAlignment="1">
      <x:alignment horizontal="right" vertical="center"/>
    </x:xf>
    <x:xf numFmtId="0" fontId="4" fillId="0" borderId="19" xfId="0" applyNumberFormat="1" applyFont="1" applyFill="1" applyBorder="1" applyAlignment="1">
      <x:alignment horizontal="right" vertical="center"/>
    </x:xf>
    <x:xf numFmtId="202" fontId="4" fillId="0" borderId="17" xfId="0" applyNumberFormat="1" applyFont="1" applyFill="1" applyBorder="1" applyAlignment="1">
      <x:alignment horizontal="right" vertical="center"/>
    </x:xf>
    <x:xf numFmtId="202" fontId="4" fillId="0" borderId="18" xfId="0" applyNumberFormat="1" applyFont="1" applyFill="1" applyBorder="1" applyAlignment="1">
      <x:alignment horizontal="right" vertical="center"/>
    </x:xf>
    <x:xf numFmtId="202" fontId="4" fillId="0" borderId="19" xfId="0" applyNumberFormat="1" applyFont="1" applyFill="1" applyBorder="1" applyAlignment="1">
      <x:alignment horizontal="right" vertical="center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24" xfId="0" applyNumberFormat="1" applyFont="1" applyFill="1" applyBorder="1"/>
    <x:xf numFmtId="0" fontId="6" fillId="6" borderId="25" xfId="0" applyNumberFormat="1" applyFont="1" applyFill="1" applyBorder="1"/>
    <x:xf numFmtId="0" fontId="6" fillId="6" borderId="26" xfId="0" applyNumberFormat="1" applyFont="1" applyFill="1" applyBorder="1"/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24" xfId="0" applyNumberFormat="1" applyFont="1" applyFill="1" applyBorder="1" applyAlignment="1">
      <x:alignment wrapText="1"/>
    </x:xf>
    <x:xf numFmtId="0" fontId="6" fillId="6" borderId="25" xfId="0" applyNumberFormat="1" applyFont="1" applyFill="1" applyBorder="1" applyAlignment="1">
      <x:alignment wrapText="1"/>
    </x:xf>
    <x:xf numFmtId="0" fontId="6" fillId="6" borderId="26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vertical="center" wrapText="1"/>
    </x:xf>
    <x:xf numFmtId="0" fontId="6" fillId="6" borderId="22" xfId="0" applyNumberFormat="1" applyFont="1" applyFill="1" applyBorder="1" applyAlignment="1">
      <x:alignment vertical="center" wrapText="1"/>
    </x:xf>
    <x:xf numFmtId="0" fontId="6" fillId="6" borderId="23" xfId="0" applyNumberFormat="1" applyFont="1" applyFill="1" applyBorder="1" applyAlignment="1">
      <x:alignment vertical="center" wrapText="1"/>
    </x:xf>
    <x:xf numFmtId="0" fontId="6" fillId="6" borderId="24" xfId="0" applyNumberFormat="1" applyFont="1" applyFill="1" applyBorder="1" applyAlignment="1">
      <x:alignment vertical="center" wrapText="1"/>
    </x:xf>
    <x:xf numFmtId="0" fontId="6" fillId="6" borderId="25" xfId="0" applyNumberFormat="1" applyFont="1" applyFill="1" applyBorder="1" applyAlignment="1">
      <x:alignment vertical="center" wrapText="1"/>
    </x:xf>
    <x:xf numFmtId="0" fontId="6" fillId="6" borderId="2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7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8" xfId="0" applyNumberFormat="1" applyFont="1" applyFill="1" applyBorder="1"/>
    <x:xf numFmtId="0" fontId="6" fillId="3" borderId="29" xfId="0" applyNumberFormat="1" applyFont="1" applyFill="1" applyBorder="1"/>
    <x:xf numFmtId="0" fontId="6" fillId="3" borderId="30" xfId="0" applyNumberFormat="1" applyFont="1" applyFill="1" applyBorder="1"/>
    <x:xf numFmtId="0" fontId="6" fillId="3" borderId="31" xfId="0" applyNumberFormat="1" applyFont="1" applyFill="1" applyBorder="1"/>
    <x:xf numFmtId="0" fontId="6" fillId="3" borderId="32" xfId="0" applyNumberFormat="1" applyFont="1" applyFill="1" applyBorder="1"/>
    <x:xf numFmtId="0" fontId="6" fillId="3" borderId="33" xfId="0" applyNumberFormat="1" applyFont="1" applyFill="1" applyBorder="1"/>
    <x:xf numFmtId="0" fontId="6" fillId="3" borderId="34" xfId="0" applyNumberFormat="1" applyFont="1" applyFill="1" applyBorder="1"/>
    <x:xf numFmtId="0" fontId="6" fillId="3" borderId="35" xfId="0" applyNumberFormat="1" applyFont="1" applyFill="1" applyBorder="1"/>
    <x:xf numFmtId="0" fontId="6" fillId="3" borderId="28" xfId="0" applyNumberFormat="1" applyFont="1" applyFill="1" applyBorder="1" applyAlignment="1">
      <x:alignment wrapText="1"/>
    </x:xf>
    <x:xf numFmtId="0" fontId="6" fillId="3" borderId="29" xfId="0" applyNumberFormat="1" applyFont="1" applyFill="1" applyBorder="1" applyAlignment="1">
      <x:alignment wrapText="1"/>
    </x:xf>
    <x:xf numFmtId="0" fontId="6" fillId="3" borderId="30" xfId="0" applyNumberFormat="1" applyFont="1" applyFill="1" applyBorder="1" applyAlignment="1">
      <x:alignment wrapText="1"/>
    </x:xf>
    <x:xf numFmtId="0" fontId="6" fillId="3" borderId="3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32" xfId="0" applyNumberFormat="1" applyFont="1" applyFill="1" applyBorder="1" applyAlignment="1">
      <x:alignment wrapText="1"/>
    </x:xf>
    <x:xf numFmtId="0" fontId="6" fillId="3" borderId="33" xfId="0" applyNumberFormat="1" applyFont="1" applyFill="1" applyBorder="1" applyAlignment="1">
      <x:alignment wrapText="1"/>
    </x:xf>
    <x:xf numFmtId="0" fontId="6" fillId="3" borderId="34" xfId="0" applyNumberFormat="1" applyFont="1" applyFill="1" applyBorder="1" applyAlignment="1">
      <x:alignment wrapText="1"/>
    </x:xf>
    <x:xf numFmtId="0" fontId="6" fillId="3" borderId="35" xfId="0" applyNumberFormat="1" applyFont="1" applyFill="1" applyBorder="1" applyAlignment="1">
      <x:alignment wrapText="1"/>
    </x:xf>
    <x:xf numFmtId="0" fontId="6" fillId="3" borderId="28" xfId="0" applyNumberFormat="1" applyFont="1" applyFill="1" applyBorder="1" applyAlignment="1">
      <x:alignment horizontal="left" wrapText="1"/>
    </x:xf>
    <x:xf numFmtId="0" fontId="6" fillId="3" borderId="29" xfId="0" applyNumberFormat="1" applyFont="1" applyFill="1" applyBorder="1" applyAlignment="1">
      <x:alignment horizontal="left" wrapText="1"/>
    </x:xf>
    <x:xf numFmtId="0" fontId="6" fillId="3" borderId="30" xfId="0" applyNumberFormat="1" applyFont="1" applyFill="1" applyBorder="1" applyAlignment="1">
      <x:alignment horizontal="left" wrapText="1"/>
    </x:xf>
    <x:xf numFmtId="0" fontId="6" fillId="3" borderId="31" xfId="0" applyNumberFormat="1" applyFont="1" applyFill="1" applyBorder="1" applyAlignment="1">
      <x:alignment horizontal="left" wrapText="1"/>
    </x:xf>
    <x:xf numFmtId="0" fontId="6" fillId="3" borderId="0" xfId="0" applyNumberFormat="1" applyFont="1" applyFill="1" applyBorder="1" applyAlignment="1">
      <x:alignment horizontal="left" wrapText="1"/>
    </x:xf>
    <x:xf numFmtId="0" fontId="6" fillId="3" borderId="32" xfId="0" applyNumberFormat="1" applyFont="1" applyFill="1" applyBorder="1" applyAlignment="1">
      <x:alignment horizontal="left" wrapText="1"/>
    </x:xf>
    <x:xf numFmtId="0" fontId="6" fillId="3" borderId="33" xfId="0" applyNumberFormat="1" applyFont="1" applyFill="1" applyBorder="1" applyAlignment="1">
      <x:alignment horizontal="left" wrapText="1"/>
    </x:xf>
    <x:xf numFmtId="0" fontId="6" fillId="3" borderId="34" xfId="0" applyNumberFormat="1" applyFont="1" applyFill="1" applyBorder="1" applyAlignment="1">
      <x:alignment horizontal="left" wrapText="1"/>
    </x:xf>
    <x:xf numFmtId="0" fontId="6" fillId="3" borderId="35" xfId="0" applyNumberFormat="1" applyFont="1" applyFill="1" applyBorder="1" applyAlignment="1">
      <x:alignment horizontal="left" wrapText="1"/>
    </x:xf>
    <x:xf numFmtId="0" fontId="6" fillId="3" borderId="28" xfId="0" applyNumberFormat="1" applyFont="1" applyFill="1" applyBorder="1" applyAlignment="1">
      <x:alignment horizontal="left" vertical="center" wrapText="1"/>
    </x:xf>
    <x:xf numFmtId="0" fontId="6" fillId="3" borderId="29" xfId="0" applyNumberFormat="1" applyFont="1" applyFill="1" applyBorder="1" applyAlignment="1">
      <x:alignment horizontal="left" vertical="center" wrapText="1"/>
    </x:xf>
    <x:xf numFmtId="0" fontId="6" fillId="3" borderId="30" xfId="0" applyNumberFormat="1" applyFont="1" applyFill="1" applyBorder="1" applyAlignment="1">
      <x:alignment horizontal="left" vertical="center" wrapText="1"/>
    </x:xf>
    <x:xf numFmtId="0" fontId="6" fillId="3" borderId="31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3" borderId="32" xfId="0" applyNumberFormat="1" applyFont="1" applyFill="1" applyBorder="1" applyAlignment="1">
      <x:alignment horizontal="left" vertical="center" wrapText="1"/>
    </x:xf>
    <x:xf numFmtId="0" fontId="6" fillId="3" borderId="33" xfId="0" applyNumberFormat="1" applyFont="1" applyFill="1" applyBorder="1" applyAlignment="1">
      <x:alignment horizontal="left" vertical="center" wrapText="1"/>
    </x:xf>
    <x:xf numFmtId="0" fontId="6" fillId="3" borderId="34" xfId="0" applyNumberFormat="1" applyFont="1" applyFill="1" applyBorder="1" applyAlignment="1">
      <x:alignment horizontal="left" vertical="center" wrapText="1"/>
    </x:xf>
    <x:xf numFmtId="0" fontId="6" fillId="3" borderId="35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5" borderId="20" xfId="0" applyNumberFormat="1" applyFont="1" applyFill="1" applyBorder="1" applyAlignment="1">
      <x:alignment vertical="center"/>
    </x:xf>
    <x:xf numFmtId="0" fontId="7" fillId="7" borderId="27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6" xfId="0" applyNumberFormat="1" applyFont="1" applyFill="1" applyBorder="1"/>
    <x:xf numFmtId="0" fontId="10" fillId="9" borderId="36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4" fillId="3" borderId="14" xfId="0" applyNumberFormat="1" applyFont="1" applyFill="1" applyBorder="1" applyAlignment="1">
      <x:alignment horizontal="center" vertical="center" wrapText="1"/>
    </x:xf>
    <x:xf numFmtId="200" fontId="4" fillId="3" borderId="15" xfId="0" applyNumberFormat="1" applyFont="1" applyFill="1" applyBorder="1" applyAlignment="1">
      <x:alignment horizontal="center" vertical="center" wrapText="1"/>
    </x:xf>
    <x:xf numFmtId="201" fontId="5" fillId="3" borderId="15" xfId="0" applyNumberFormat="1" applyFont="1" applyFill="1" applyBorder="1" applyAlignment="1">
      <x:alignment horizontal="right" vertical="center" wrapText="1"/>
    </x:xf>
    <x:xf numFmtId="201" fontId="4" fillId="3" borderId="15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0" fontId="11" fillId="10" borderId="0" xfId="0" applyNumberFormat="1" applyFont="1" applyFill="1" applyBorder="1"/>
    <x:xf numFmtId="0" fontId="11" fillId="11" borderId="0" xfId="0" applyNumberFormat="1" applyFont="1" applyFill="1" applyBorder="1"/>
    <x:xf numFmtId="0" fontId="11" fillId="12" borderId="0" xfId="0" applyNumberFormat="1" applyFont="1" applyFill="1" applyBorder="1"/>
    <x:xf numFmtId="0" fontId="11" fillId="13" borderId="0" xfId="0" applyNumberFormat="1" applyFont="1" applyFill="1" applyBorder="1"/>
    <x:xf numFmtId="0" fontId="11" fillId="14" borderId="0" xfId="0" applyNumberFormat="1" applyFont="1" applyFill="1" applyBorder="1"/>
    <x:xf numFmtId="0" fontId="11" fillId="15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137333"/>
      </x:font>
      <x:fill>
        <x:patternFill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e0687289744d1" /><Relationship Type="http://schemas.openxmlformats.org/officeDocument/2006/relationships/theme" Target="/xl/theme/theme1.xml" Id="R223b115258934b95" /><Relationship Type="http://schemas.openxmlformats.org/officeDocument/2006/relationships/sharedStrings" Target="/xl/sharedStrings.xml" Id="Ref2ab52b456a49d3" /><Relationship Type="http://schemas.openxmlformats.org/officeDocument/2006/relationships/worksheet" Target="/xl/worksheets/sheet1.xml" Id="Raa172adfa2624a6f" /><Relationship Type="http://schemas.openxmlformats.org/officeDocument/2006/relationships/worksheet" Target="/xl/worksheets/sheet2.xml" Id="R8629299437de4e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6f1c8698d94dca" /><Relationship Type="http://schemas.openxmlformats.org/officeDocument/2006/relationships/chart" Target="/xl/drawings/charts/chart2.xml" Id="Reb4674a0909448e0" /><Relationship Type="http://schemas.openxmlformats.org/officeDocument/2006/relationships/chart" Target="/xl/drawings/charts/chart3.xml" Id="Rf2ce1fe52bd64d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500 标签尾段 Macro F1（目标 0.5）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Macro F1</c:v>
          </c:tx>
          <c:spPr>
            <a:solidFill xmlns:a="http://schemas.openxmlformats.org/drawingml/2006/main">
              <a:srgbClr val="1F4E78"/>
            </a:solidFill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'趋势图数据'!$A$5:$A$16</c:f>
              <c:strCache>
                <c:ptCount val="0"/>
              </c:strCache>
            </c:strRef>
          </c:cat>
          <c:val>
            <c:numRef>
              <c:f>'趋势图数据'!$B$5:$B$16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目标 0.5</c:v>
          </c:tx>
          <c:spPr>
            <a:solidFill xmlns:a="http://schemas.openxmlformats.org/drawingml/2006/main">
              <a:srgbClr val="C0504D"/>
            </a:solidFill>
            <a:ln xmlns:a="http://schemas.openxmlformats.org/drawingml/2006/main" w="19050">
              <a:solidFill>
                <a:srgbClr val="C0504D"/>
              </a:solidFill>
              <a:prstDash val="dash"/>
            </a:ln>
          </c:spPr>
          <c:marker>
            <c:symbol val="none"/>
          </c:marker>
          <c:cat>
            <c:strRef>
              <c:f>'趋势图数据'!$A$5:$A$16</c:f>
              <c:strCache>
                <c:ptCount val="0"/>
              </c:strCache>
            </c:strRef>
          </c:cat>
          <c:val>
            <c:numRef>
              <c:f>'趋势图数据'!$C$5:$C$16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100 标签筛选 Macro F1（非全量成绩）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Macro F1</c:v>
          </c:tx>
          <c:spPr>
            <a:solidFill xmlns:a="http://schemas.openxmlformats.org/drawingml/2006/main">
              <a:srgbClr val="548235"/>
            </a:solidFill>
            <a:ln xmlns:a="http://schemas.openxmlformats.org/drawingml/2006/main" w="1905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'趋势图数据'!$E$5:$E$8</c:f>
              <c:strCache>
                <c:ptCount val="0"/>
              </c:strCache>
            </c:strRef>
          </c:cat>
          <c:val>
            <c:numRef>
              <c:f>'趋势图数据'!$F$5:$F$8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历史随机验证 Macro F1（不同口径）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Macro F1</c:v>
          </c:tx>
          <c:spPr>
            <a:solidFill xmlns:a="http://schemas.openxmlformats.org/drawingml/2006/main">
              <a:srgbClr val="7F7F7F"/>
            </a:solidFill>
            <a:ln xmlns:a="http://schemas.openxmlformats.org/drawingml/2006/main" w="19050">
              <a:solidFill>
                <a:srgbClr val="7F7F7F"/>
              </a:solidFill>
              <a:prstDash val="solid"/>
            </a:ln>
          </c:spPr>
          <c:marker>
            <c:symbol val="none"/>
          </c:marker>
          <c:cat>
            <c:strRef>
              <c:f>'趋势图数据'!$H$5:$H$6</c:f>
              <c:strCache>
                <c:ptCount val="0"/>
              </c:strCache>
            </c:strRef>
          </c:cat>
          <c:val>
            <c:numRef>
              <c:f>'趋势图数据'!$I$5:$I$6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6f1c8698d94dca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674a0909448e0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ce1fe52bd64d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c8a437ab324748" /></Relationships>
</file>

<file path=xl/worksheets/sheet1.xml><?xml version="1.0" encoding="utf-8"?>
<x:worksheet xmlns:x="http://schemas.openxmlformats.org/spreadsheetml/2006/main">
  <x:sheetPr>
    <x:tabColor rgb="FF234E70"/>
  </x:sheetPr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36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33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74"/>
      <x:c r="B1" s="174"/>
      <x:c r="C1" s="174"/>
      <x:c r="D1" s="174"/>
      <x:c r="E1" s="174"/>
      <x:c r="F1" s="174"/>
      <x:c r="G1" s="174"/>
      <x:c r="H1" s="174"/>
      <x:c r="I1" s="174"/>
      <x:c r="J1" s="174"/>
      <x:c r="K1" s="174"/>
      <x:c r="L1" s="174"/>
      <x:c r="M1" s="174"/>
      <x:c r="N1" s="174"/>
      <x:c r="O1" s="174"/>
      <x:c r="P1" s="174"/>
      <x:c r="Q1" s="174"/>
    </x:row>
    <x:row r="2">
      <x:c r="A2" s="169" t="str">
        <x:v>蛋白质功能预测迭代趋势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  <x:c r="L2" s="174"/>
      <x:c r="M2" s="174"/>
      <x:c r="N2" s="174"/>
      <x:c r="O2" s="174"/>
      <x:c r="P2" s="174"/>
      <x:c r="Q2" s="174"/>
    </x:row>
    <x:row r="3">
      <x:c r="A3" s="170" t="str">
        <x:v>每次迭代完成后更新｜截至 2026-10-01｜主指标：本地 Macro F1（越高越好）｜Macro AUC 作为辅助指标</x:v>
      </x:c>
      <x:c r="B3" s="174"/>
      <x:c r="C3" s="174"/>
      <x:c r="D3" s="174"/>
      <x:c r="E3" s="174"/>
      <x:c r="F3" s="174"/>
      <x:c r="G3" s="174"/>
      <x:c r="H3" s="174"/>
      <x:c r="I3" s="174"/>
      <x:c r="J3" s="174"/>
      <x:c r="K3" s="174"/>
      <x:c r="L3" s="174"/>
      <x:c r="M3" s="174"/>
      <x:c r="N3" s="174"/>
      <x:c r="O3" s="174"/>
      <x:c r="P3" s="174"/>
      <x:c r="Q3" s="174"/>
    </x:row>
    <x:row r="4">
      <x:c r="A4" s="175"/>
      <x:c r="B4" s="175"/>
      <x:c r="C4" s="175"/>
      <x:c r="D4" s="175"/>
      <x:c r="E4" s="175"/>
      <x:c r="F4" s="175"/>
      <x:c r="G4" s="175"/>
      <x:c r="H4" s="175"/>
      <x:c r="I4" s="174"/>
      <x:c r="J4" s="174"/>
      <x:c r="K4" s="174"/>
      <x:c r="L4" s="174"/>
      <x:c r="M4" s="174"/>
      <x:c r="N4" s="174"/>
      <x:c r="O4" s="174"/>
      <x:c r="P4" s="174"/>
      <x:c r="Q4" s="174"/>
    </x:row>
    <x:row r="5" ht="30" customHeight="1">
      <x:c r="A5" s="15" t="str">
        <x:v>迭代</x:v>
      </x:c>
      <x:c r="B5" s="16" t="str">
        <x:v>日期</x:v>
      </x:c>
      <x:c r="C5" s="16" t="str">
        <x:v>核心方案</x:v>
      </x:c>
      <x:c r="D5" s="16" t="str">
        <x:v>验证口径</x:v>
      </x:c>
      <x:c r="E5" s="16" t="str">
        <x:v>Macro F1</x:v>
      </x:c>
      <x:c r="F5" s="16" t="str">
        <x:v>F1 标准差</x:v>
      </x:c>
      <x:c r="G5" s="16" t="str">
        <x:v>Macro AUC</x:v>
      </x:c>
      <x:c r="H5" s="17" t="str">
        <x:v>主要结论</x:v>
      </x:c>
      <x:c r="I5" s="174"/>
      <x:c r="J5" s="174"/>
      <x:c r="K5" s="174"/>
      <x:c r="L5" s="174"/>
      <x:c r="M5" s="174"/>
      <x:c r="N5" s="174"/>
      <x:c r="O5" s="174"/>
      <x:c r="P5" s="174"/>
      <x:c r="Q5" s="174"/>
    </x:row>
    <x:row r="6" ht="56" customHeight="1">
      <x:c r="A6" s="37" t="str">
        <x:v>第一次</x:v>
      </x:c>
      <x:c r="B6" s="43" t="n">
        <x:v>46288</x:v>
      </x:c>
      <x:c r="C6" s="46" t="str">
        <x:v>120k 3–5-mer TF-IDF + balanced SGD + 收缩阈值</x:v>
      </x:c>
      <x:c r="D6" s="46" t="str">
        <x:v>固定 seed-42 随机分层验证（500 标签）</x:v>
      </x:c>
      <x:c r="E6" s="58" t="n">
        <x:v>0.3799564929582331</x:v>
      </x:c>
      <x:c r="F6" s="52" t="str">
        <x:v>n.a.</x:v>
      </x:c>
      <x:c r="G6" s="52" t="str">
        <x:v>未记录</x:v>
      </x:c>
      <x:c r="H6" s="49" t="str">
        <x:v>随机验证下形成最强线性主模型</x:v>
      </x:c>
      <x:c r="I6" s="174"/>
      <x:c r="J6" s="174"/>
      <x:c r="K6" s="174"/>
      <x:c r="L6" s="174"/>
      <x:c r="M6" s="174"/>
      <x:c r="N6" s="174"/>
      <x:c r="O6" s="174"/>
      <x:c r="P6" s="174"/>
      <x:c r="Q6" s="174"/>
    </x:row>
    <x:row r="7" ht="56" customHeight="1">
      <x:c r="A7" s="39" t="str">
        <x:v>第二次</x:v>
      </x:c>
      <x:c r="B7" s="44" t="n">
        <x:v>46289</x:v>
      </x:c>
      <x:c r="C7" s="47" t="str">
        <x:v>GPU CNN + max/mean 池化 + 474 维统计特征</x:v>
      </x:c>
      <x:c r="D7" s="47" t="str">
        <x:v>固定 seed-42 随机分层验证（500 标签）</x:v>
      </x:c>
      <x:c r="E7" s="59" t="n">
        <x:v>0.24636956251082398</x:v>
      </x:c>
      <x:c r="F7" s="53" t="str">
        <x:v>n.a.</x:v>
      </x:c>
      <x:c r="G7" s="53" t="str">
        <x:v>未记录</x:v>
      </x:c>
      <x:c r="H7" s="50" t="str">
        <x:v>GPU 路线较旧 CNN 改进，但未超过第一轮</x:v>
      </x:c>
      <x:c r="I7" s="174"/>
      <x:c r="J7" s="174"/>
      <x:c r="K7" s="174"/>
      <x:c r="L7" s="174"/>
      <x:c r="M7" s="174"/>
      <x:c r="N7" s="174"/>
      <x:c r="O7" s="174"/>
      <x:c r="P7" s="174"/>
      <x:c r="Q7" s="174"/>
    </x:row>
    <x:row r="8" ht="56" customHeight="1">
      <x:c r="A8" s="67" t="str">
        <x:v>第三次</x:v>
      </x:c>
      <x:c r="B8" s="68" t="n">
        <x:v>46291</x:v>
      </x:c>
      <x:c r="C8" s="69" t="str">
        <x:v>120k 3–5-mer TF-IDF，SGD 10% + KNN 90%</x:v>
      </x:c>
      <x:c r="D8" s="69" t="str">
        <x:v>尾段代理验证（1,062 样本，5 个 threshold split seeds）</x:v>
      </x:c>
      <x:c r="E8" s="70" t="n">
        <x:v>0.3215169269432081</x:v>
      </x:c>
      <x:c r="F8" s="71" t="n">
        <x:v>0.0024322549849381185</x:v>
      </x:c>
      <x:c r="G8" s="71" t="n">
        <x:v>0.8150451732223777</x:v>
      </x:c>
      <x:c r="H8" s="69" t="str">
        <x:v>以 Macro F1 为主、AUC 为辅，形成最终提交</x:v>
      </x:c>
      <x:c r="I8" s="174"/>
      <x:c r="J8" s="174"/>
      <x:c r="K8" s="174"/>
      <x:c r="L8" s="174"/>
      <x:c r="M8" s="174"/>
      <x:c r="N8" s="174"/>
      <x:c r="O8" s="174"/>
      <x:c r="P8" s="174"/>
      <x:c r="Q8" s="174"/>
    </x:row>
    <x:row r="9" ht="56" customHeight="1">
      <x:c r="A9" s="67" t="str">
        <x:v>第四次</x:v>
      </x:c>
      <x:c r="B9" s="68" t="n">
        <x:v>46293</x:v>
      </x:c>
      <x:c r="C9" s="69" t="str">
        <x:v>SGD/KNN 60% + GPU CNN 40%（固定 8 epoch）</x:v>
      </x:c>
      <x:c r="D9" s="69" t="str">
        <x:v>尾段代理验证（1,062 样本，5 个 threshold split seeds）</x:v>
      </x:c>
      <x:c r="E9" s="70" t="n">
        <x:v>0.32419172996031437</x:v>
      </x:c>
      <x:c r="F9" s="71" t="n">
        <x:v>0.0012013940043014708</x:v>
      </x:c>
      <x:c r="G9" s="71" t="n">
        <x:v>0.8280390455031759</x:v>
      </x:c>
      <x:c r="H9" s="69" t="str">
        <x:v>同口径 F1 +0.002675；AUC +0.012994，未达到 0.5</x:v>
      </x:c>
      <x:c r="I9" s="174"/>
      <x:c r="J9" s="174"/>
      <x:c r="K9" s="174"/>
      <x:c r="L9" s="174"/>
      <x:c r="M9" s="174"/>
      <x:c r="N9" s="174"/>
      <x:c r="O9" s="174"/>
      <x:c r="P9" s="174"/>
      <x:c r="Q9" s="174"/>
    </x:row>
    <x:row r="10" ht="56" customHeight="1">
      <x:c r="A10" s="67" t="str">
        <x:v>第五次</x:v>
      </x:c>
      <x:c r="B10" s="68" t="n">
        <x:v>46293</x:v>
      </x:c>
      <x:c r="C10" s="69" t="str">
        <x:v>序列局部对齐近邻 90% + 尾段加权 SGD 10%</x:v>
      </x:c>
      <x:c r="D10" s="69" t="str">
        <x:v>尾段代理验证（1,062 样本，5 个 threshold split seeds）</x:v>
      </x:c>
      <x:c r="E10" s="70" t="n">
        <x:v>0.3351783934801672</x:v>
      </x:c>
      <x:c r="F10" s="71" t="n">
        <x:v>0.0008049006706986432</x:v>
      </x:c>
      <x:c r="G10" s="71" t="n">
        <x:v>0.8211324963363611</x:v>
      </x:c>
      <x:c r="H10" s="69" t="str">
        <x:v>F1 +0.010987；AUC 高于第三次但低于第四次</x:v>
      </x:c>
      <x:c r="I10" s="174"/>
      <x:c r="J10" s="174"/>
      <x:c r="K10" s="174"/>
      <x:c r="L10" s="174"/>
      <x:c r="M10" s="174"/>
      <x:c r="N10" s="174"/>
      <x:c r="O10" s="174"/>
      <x:c r="P10" s="174"/>
      <x:c r="Q10" s="174"/>
    </x:row>
    <x:row r="11" ht="56" customHeight="1">
      <x:c r="A11" s="67" t="str">
        <x:v>第六次</x:v>
      </x:c>
      <x:c r="B11" s="68" t="n">
        <x:v>46294</x:v>
      </x:c>
      <x:c r="C11" s="69" t="str">
        <x:v>冻结 ESM-2 表示 + 按标签分类/融合（089 自适应候选）</x:v>
      </x:c>
      <x:c r="D11" s="69" t="str">
        <x:v>尾段代理验证（1,062 样本，5 个 threshold split seeds）</x:v>
      </x:c>
      <x:c r="E11" s="70" t="n">
        <x:v>0.3242434409979672</x:v>
      </x:c>
      <x:c r="F11" s="71" t="n">
        <x:v>0.013719475982240131</x:v>
      </x:c>
      <x:c r="G11" s="71" t="n">
        <x:v>0.8281240938209207</x:v>
      </x:c>
      <x:c r="H11" s="69" t="str">
        <x:v>未超过第五次 F1；ESM 未入选策略；未生成新平台提交</x:v>
      </x:c>
      <x:c r="I11" s="174"/>
      <x:c r="J11" s="174"/>
      <x:c r="K11" s="174"/>
      <x:c r="L11" s="174"/>
      <x:c r="M11" s="174"/>
      <x:c r="N11" s="174"/>
      <x:c r="O11" s="174"/>
      <x:c r="P11" s="174"/>
      <x:c r="Q11" s="174"/>
    </x:row>
    <x:row r="12" ht="34" customHeight="1">
      <x:c r="A12" s="76" t="str">
        <x:v>对比</x:v>
      </x:c>
      <x:c r="B12" s="76" t="str">
        <x:v>Macro F1 数值变化</x:v>
      </x:c>
      <x:c r="C12" s="76" t="str">
        <x:v>解读</x:v>
      </x:c>
      <x:c r="D12" s="174"/>
      <x:c r="E12" s="174"/>
      <x:c r="F12" s="174"/>
      <x:c r="G12" s="174"/>
      <x:c r="H12" s="174"/>
      <x:c r="I12" s="174"/>
      <x:c r="J12" s="174"/>
      <x:c r="K12" s="174"/>
      <x:c r="L12" s="174"/>
      <x:c r="M12" s="174"/>
      <x:c r="N12" s="174"/>
      <x:c r="O12" s="174"/>
      <x:c r="P12" s="174"/>
      <x:c r="Q12" s="174"/>
    </x:row>
    <x:row r="13" ht="34" customHeight="1">
      <x:c r="A13" s="86" t="str">
        <x:v>第一次 → 第二次</x:v>
      </x:c>
      <x:c r="B13" s="92" t="n">
        <x:f>E7-E6</x:f>
        <x:v>-0.1335869304474091</x:v>
      </x:c>
      <x:c r="C13" s="95" t="str">
        <x:v>同口径：GPU CNN 未超过 TF-IDF + SGD</x:v>
      </x:c>
      <x:c r="D13" s="174"/>
      <x:c r="E13" s="174"/>
      <x:c r="F13" s="174"/>
      <x:c r="G13" s="174"/>
      <x:c r="H13" s="174"/>
      <x:c r="I13" s="174"/>
      <x:c r="J13" s="174"/>
      <x:c r="K13" s="174"/>
      <x:c r="L13" s="174"/>
      <x:c r="M13" s="174"/>
      <x:c r="N13" s="174"/>
      <x:c r="O13" s="174"/>
      <x:c r="P13" s="174"/>
      <x:c r="Q13" s="174"/>
    </x:row>
    <x:row r="14" ht="34" customHeight="1">
      <x:c r="A14" s="87" t="str">
        <x:v>第二次 → 第三次</x:v>
      </x:c>
      <x:c r="B14" s="93" t="n">
        <x:f>E8-E7</x:f>
        <x:v>0.07514736443238412</x:v>
      </x:c>
      <x:c r="C14" s="96" t="str">
        <x:v>不同口径：数值回升，但不可视为严格同比</x:v>
      </x:c>
      <x:c r="D14" s="174"/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  <x:c r="O14" s="174"/>
      <x:c r="P14" s="174"/>
      <x:c r="Q14" s="174"/>
    </x:row>
    <x:row r="15" ht="34" customHeight="1">
      <x:c r="A15" s="88" t="str">
        <x:v>第三次 → 第四次</x:v>
      </x:c>
      <x:c r="B15" s="94" t="n">
        <x:f>E9-E8</x:f>
        <x:v>0.0026748030171062642</x:v>
      </x:c>
      <x:c r="C15" s="97" t="str">
        <x:v>同口径：尾段五 seed F1 小幅提升；AUC 同时提高</x:v>
      </x:c>
      <x:c r="D15" s="174"/>
      <x:c r="E15" s="174"/>
      <x:c r="F15" s="174"/>
      <x:c r="G15" s="174"/>
      <x:c r="H15" s="174"/>
      <x:c r="I15" s="174"/>
      <x:c r="J15" s="174"/>
      <x:c r="K15" s="174"/>
      <x:c r="L15" s="174"/>
      <x:c r="M15" s="174"/>
      <x:c r="N15" s="174"/>
      <x:c r="O15" s="174"/>
      <x:c r="P15" s="174"/>
      <x:c r="Q15" s="174"/>
    </x:row>
    <x:row r="16">
      <x:c r="A16" s="88" t="str">
        <x:v>第四次 → 第五次</x:v>
      </x:c>
      <x:c r="B16" s="94" t="n">
        <x:f>E10-E9</x:f>
        <x:v>0.010986663519852835</x:v>
      </x:c>
      <x:c r="C16" s="97" t="str">
        <x:v>同口径：局部对齐提高 F1；AUC 相对第四次回落</x:v>
      </x:c>
      <x:c r="D16" s="174"/>
      <x:c r="E16" s="174"/>
      <x:c r="F16" s="174"/>
      <x:c r="G16" s="174"/>
      <x:c r="H16" s="174"/>
      <x:c r="I16" s="174"/>
      <x:c r="J16" s="174"/>
      <x:c r="K16" s="174"/>
      <x:c r="L16" s="174"/>
      <x:c r="M16" s="174"/>
      <x:c r="N16" s="174"/>
      <x:c r="O16" s="174"/>
      <x:c r="P16" s="174"/>
      <x:c r="Q16" s="174"/>
    </x:row>
    <x:row r="17" ht="26" customHeight="1">
      <x:c r="A17" s="88" t="str">
        <x:v>第五次 → 第六次</x:v>
      </x:c>
      <x:c r="B17" s="94" t="n">
        <x:f>E11-E10</x:f>
        <x:v>-0.0109349524822</x:v>
      </x:c>
      <x:c r="C17" s="97" t="str">
        <x:v>同口径：标签自适应候选 F1 回落；AUC 小幅上升，未生成提交</x:v>
      </x:c>
      <x:c r="D17" s="174"/>
      <x:c r="E17" s="174"/>
      <x:c r="F17" s="174"/>
      <x:c r="G17" s="174"/>
      <x:c r="H17" s="174"/>
      <x:c r="I17" s="174"/>
      <x:c r="J17" s="130" t="str">
        <x:v>阅读提示</x:v>
      </x:c>
      <x:c r="K17" s="130" t="str">
        <x:v>阅读提示</x:v>
      </x:c>
      <x:c r="L17" s="130" t="str">
        <x:v>阅读提示</x:v>
      </x:c>
      <x:c r="M17" s="130" t="str">
        <x:v>阅读提示</x:v>
      </x:c>
      <x:c r="N17" s="130" t="str">
        <x:v>阅读提示</x:v>
      </x:c>
      <x:c r="O17" s="130" t="str">
        <x:v>阅读提示</x:v>
      </x:c>
      <x:c r="P17" s="130" t="str">
        <x:v>阅读提示</x:v>
      </x:c>
      <x:c r="Q17" s="130" t="str">
        <x:v>阅读提示</x:v>
      </x:c>
    </x:row>
    <x:row r="18" ht="32" customHeight="1">
      <x:c r="A18" s="115" t="str">
        <x:v>验证口径说明：第三至第六次均采用尾段代理验证和五个 threshold split seeds，可比较本地结果。前两次为固定随机验证，不可直接同比；第六次没有平台提交。第五次平台反馈：F1 0.379829、AUC 0.720675，与本地代理不同。</x:v>
      </x:c>
      <x:c r="B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C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D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E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F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G18" s="116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H18" s="117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I18" s="174"/>
      <x:c r="J18" s="159" t="str">
        <x:v>前两次与后四次验证口径不同；第三次到第六次可同口径比较本地代理结果。折线图不代表平台实际得分。第五次平台 F1 为 0.379829，AUC 为 0.720675。</x:v>
      </x:c>
      <x:c r="K18" s="160" t="str">
        <x:v>第三次数据点使用尾段代理验证。结合方法变化和验证口径阅读，不把折线斜率直接解释为线上成绩升降。</x:v>
      </x:c>
      <x:c r="L18" s="160" t="str">
        <x:v>第三次数据点使用尾段代理验证。结合方法变化和验证口径阅读，不把折线斜率直接解释为线上成绩升降。</x:v>
      </x:c>
      <x:c r="M18" s="160" t="str">
        <x:v>第三次数据点使用尾段代理验证。结合方法变化和验证口径阅读，不把折线斜率直接解释为线上成绩升降。</x:v>
      </x:c>
      <x:c r="N18" s="160" t="str">
        <x:v>第三次数据点使用尾段代理验证。结合方法变化和验证口径阅读，不把折线斜率直接解释为线上成绩升降。</x:v>
      </x:c>
      <x:c r="O18" s="160" t="str">
        <x:v>第三次数据点使用尾段代理验证。结合方法变化和验证口径阅读，不把折线斜率直接解释为线上成绩升降。</x:v>
      </x:c>
      <x:c r="P18" s="160" t="str">
        <x:v>第三次数据点使用尾段代理验证。结合方法变化和验证口径阅读，不把折线斜率直接解释为线上成绩升降。</x:v>
      </x:c>
      <x:c r="Q18" s="161" t="str">
        <x:v>第三次数据点使用尾段代理验证。结合方法变化和验证口径阅读，不把折线斜率直接解释为线上成绩升降。</x:v>
      </x:c>
    </x:row>
    <x:row r="19" ht="32" customHeight="1">
      <x:c r="A19" s="118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B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C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D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E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F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G19" s="119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H19" s="120" t="str">
        <x:v>第三次迭代采用更接近测试 ID 分布的尾段代理验证，前两次采用固定随机验证。折线图展示各轮本地代表指标及方法演进，不表示严格同口径的绝对升降。前两轮现有指标文件未记录连续 Macro AUC，因此保留为“未记录”，不以 0 代替。</x:v>
      </x:c>
      <x:c r="I19" s="174"/>
      <x:c r="J19" s="162" t="str">
        <x:v>第三次数据点使用尾段代理验证。结合方法变化和验证口径阅读，不把折线斜率直接解释为线上成绩升降。</x:v>
      </x:c>
      <x:c r="K19" s="163" t="str">
        <x:v>第三次数据点使用尾段代理验证。结合方法变化和验证口径阅读，不把折线斜率直接解释为线上成绩升降。</x:v>
      </x:c>
      <x:c r="L19" s="163" t="str">
        <x:v>第三次数据点使用尾段代理验证。结合方法变化和验证口径阅读，不把折线斜率直接解释为线上成绩升降。</x:v>
      </x:c>
      <x:c r="M19" s="163" t="str">
        <x:v>第三次数据点使用尾段代理验证。结合方法变化和验证口径阅读，不把折线斜率直接解释为线上成绩升降。</x:v>
      </x:c>
      <x:c r="N19" s="163" t="str">
        <x:v>第三次数据点使用尾段代理验证。结合方法变化和验证口径阅读，不把折线斜率直接解释为线上成绩升降。</x:v>
      </x:c>
      <x:c r="O19" s="163" t="str">
        <x:v>第三次数据点使用尾段代理验证。结合方法变化和验证口径阅读，不把折线斜率直接解释为线上成绩升降。</x:v>
      </x:c>
      <x:c r="P19" s="163" t="str">
        <x:v>第三次数据点使用尾段代理验证。结合方法变化和验证口径阅读，不把折线斜率直接解释为线上成绩升降。</x:v>
      </x:c>
      <x:c r="Q19" s="164" t="str">
        <x:v>第三次数据点使用尾段代理验证。结合方法变化和验证口径阅读，不把折线斜率直接解释为线上成绩升降。</x:v>
      </x:c>
    </x:row>
    <x:row r="20">
      <x:c r="A20" s="174" t="str">
        <x:v>第三、四、五次采用相同尾段代理验证和五个 threshold split seeds，可在三轮之间比较。前两次采用固定随机验证，不能与尾段结果直接比较。前两轮未记录连续 Macro AUC，保留为“未记录”。</x:v>
      </x:c>
      <x:c r="B20" s="174"/>
      <x:c r="C20" s="174"/>
      <x:c r="D20" s="174"/>
      <x:c r="E20" s="174"/>
      <x:c r="F20" s="174"/>
      <x:c r="G20" s="174"/>
      <x:c r="H20" s="174"/>
      <x:c r="I20" s="174"/>
      <x:c r="J20" s="165" t="str">
        <x:v>前两次与后三次验证口径不同；第三次到第五次为同口径。折线图展示本地代理指标，不代表平台实际得分。</x:v>
      </x:c>
      <x:c r="K20" s="166" t="str">
        <x:v>第三次数据点使用尾段代理验证。结合方法变化和验证口径阅读，不把折线斜率直接解释为线上成绩升降。</x:v>
      </x:c>
      <x:c r="L20" s="166" t="str">
        <x:v>第三次数据点使用尾段代理验证。结合方法变化和验证口径阅读，不把折线斜率直接解释为线上成绩升降。</x:v>
      </x:c>
      <x:c r="M20" s="166" t="str">
        <x:v>第三次数据点使用尾段代理验证。结合方法变化和验证口径阅读，不把折线斜率直接解释为线上成绩升降。</x:v>
      </x:c>
      <x:c r="N20" s="166" t="str">
        <x:v>第三次数据点使用尾段代理验证。结合方法变化和验证口径阅读，不把折线斜率直接解释为线上成绩升降。</x:v>
      </x:c>
      <x:c r="O20" s="166" t="str">
        <x:v>第三次数据点使用尾段代理验证。结合方法变化和验证口径阅读，不把折线斜率直接解释为线上成绩升降。</x:v>
      </x:c>
      <x:c r="P20" s="166" t="str">
        <x:v>第三次数据点使用尾段代理验证。结合方法变化和验证口径阅读，不把折线斜率直接解释为线上成绩升降。</x:v>
      </x:c>
      <x:c r="Q20" s="167" t="str">
        <x:v>第三次数据点使用尾段代理验证。结合方法变化和验证口径阅读，不把折线斜率直接解释为线上成绩升降。</x:v>
      </x:c>
    </x:row>
    <x:row r="21">
      <x:c r="A21" s="174"/>
      <x:c r="B21" s="174"/>
      <x:c r="C21" s="174"/>
      <x:c r="D21" s="174"/>
      <x:c r="E21" s="174"/>
      <x:c r="F21" s="174"/>
      <x:c r="G21" s="174"/>
      <x:c r="H21" s="174"/>
      <x:c r="I21" s="174"/>
      <x:c r="J21" s="174"/>
      <x:c r="K21" s="174"/>
      <x:c r="L21" s="174"/>
      <x:c r="M21" s="174"/>
      <x:c r="N21" s="174"/>
      <x:c r="O21" s="174"/>
      <x:c r="P21" s="174"/>
      <x:c r="Q21" s="174"/>
    </x:row>
    <x:row r="22" ht="26" customHeight="1">
      <x:c r="A22" s="173" t="str">
        <x:v>指标定义与数据来源</x:v>
      </x:c>
      <x:c r="B22" s="173"/>
      <x:c r="C22" s="173"/>
      <x:c r="D22" s="173"/>
      <x:c r="E22" s="173"/>
      <x:c r="F22" s="173"/>
      <x:c r="G22" s="173"/>
      <x:c r="H22" s="173"/>
      <x:c r="I22" s="174"/>
      <x:c r="J22" s="174"/>
      <x:c r="K22" s="174"/>
      <x:c r="L22" s="174"/>
      <x:c r="M22" s="174"/>
      <x:c r="N22" s="174"/>
      <x:c r="O22" s="174"/>
      <x:c r="P22" s="174"/>
      <x:c r="Q22" s="174"/>
    </x:row>
    <x:row r="23" ht="26" customHeight="1">
      <x:c r="A23" s="126" t="str">
        <x:v>评分：逐标签计算 F1，跳过测试子集中无正样本的标签，最终取算术平均。Macro F1 为首要目标，Macro AUC 用于辅助判断排序能力。</x:v>
      </x:c>
      <x:c r="B23" s="126"/>
      <x:c r="C23" s="126"/>
      <x:c r="D23" s="126"/>
      <x:c r="E23" s="126"/>
      <x:c r="F23" s="126"/>
      <x:c r="G23" s="126"/>
      <x:c r="H23" s="126"/>
      <x:c r="I23" s="174"/>
      <x:c r="J23" s="174"/>
      <x:c r="K23" s="174"/>
      <x:c r="L23" s="174"/>
      <x:c r="M23" s="174"/>
      <x:c r="N23" s="174"/>
      <x:c r="O23" s="174"/>
      <x:c r="P23" s="174"/>
      <x:c r="Q23" s="174"/>
    </x:row>
    <x:row r="24" ht="26" customHeight="1">
      <x:c r="A24" s="126" t="str">
        <x:v>第一次：EXP-20260923-025；第二次：EXP-20260924-030；第三次：EXP-20260926-044/045；第四次：EXP-20260928-065；第五次：EXP-20260928-068/070；第六次：EXP-20260929-089。</x:v>
      </x:c>
      <x:c r="B24" s="126"/>
      <x:c r="C24" s="126"/>
      <x:c r="D24" s="126"/>
      <x:c r="E24" s="126"/>
      <x:c r="F24" s="126"/>
      <x:c r="G24" s="126"/>
      <x:c r="H24" s="126"/>
      <x:c r="I24" s="174"/>
      <x:c r="J24" s="174"/>
      <x:c r="K24" s="174"/>
      <x:c r="L24" s="174"/>
      <x:c r="M24" s="174"/>
      <x:c r="N24" s="174"/>
      <x:c r="O24" s="174"/>
      <x:c r="P24" s="174"/>
      <x:c r="Q24" s="174"/>
    </x:row>
    <x:row r="25" ht="26" customHeight="1">
      <x:c r="A25" s="126" t="str">
        <x:v>来源：各轮独立实验报告、阈值摘要 JSON 与迭代完成后的提交校验记录。</x:v>
      </x:c>
      <x:c r="B25" s="126"/>
      <x:c r="C25" s="126"/>
      <x:c r="D25" s="126"/>
      <x:c r="E25" s="126"/>
      <x:c r="F25" s="126"/>
      <x:c r="G25" s="126"/>
      <x:c r="H25" s="126"/>
      <x:c r="I25" s="174"/>
      <x:c r="J25" s="174"/>
      <x:c r="K25" s="174"/>
      <x:c r="L25" s="174"/>
      <x:c r="M25" s="174"/>
      <x:c r="N25" s="174"/>
      <x:c r="O25" s="174"/>
      <x:c r="P25" s="174"/>
      <x:c r="Q25" s="174"/>
    </x:row>
    <x:row r="27" ht="24" customHeight="1">
      <x:c r="A27" s="179" t="str">
        <x:v>迭代表更新规则</x:v>
      </x:c>
      <x:c r="B27" s="179"/>
      <x:c r="C27" s="179"/>
      <x:c r="D27" s="179"/>
      <x:c r="E27" s="179"/>
      <x:c r="F27" s="179"/>
      <x:c r="G27" s="179"/>
      <x:c r="H27" s="179"/>
    </x:row>
    <x:row r="28" ht="24" customHeight="1">
      <x:c r="A28" t="str">
        <x:v>1. 只登记已经完成的迭代。</x:v>
      </x:c>
      <x:c r="B28"/>
      <x:c r="C28"/>
      <x:c r="D28"/>
      <x:c r="E28"/>
      <x:c r="F28"/>
      <x:c r="G28"/>
      <x:c r="H28"/>
    </x:row>
    <x:row r="29" ht="24" customHeight="1">
      <x:c r="A29" t="str">
        <x:v>2. 每轮完成独立实验报告后，在上方迭代表新增一行。</x:v>
      </x:c>
      <x:c r="B29"/>
      <x:c r="C29"/>
      <x:c r="D29"/>
      <x:c r="E29"/>
      <x:c r="F29"/>
      <x:c r="G29"/>
      <x:c r="H29"/>
    </x:row>
    <x:row r="30" ht="24" customHeight="1">
      <x:c r="A30" t="str">
        <x:v>3. 每轮记录验证口径、Macro F1、Macro AUC、结论和报告编号。</x:v>
      </x:c>
      <x:c r="B30"/>
      <x:c r="C30"/>
      <x:c r="D30"/>
      <x:c r="E30"/>
      <x:c r="F30"/>
      <x:c r="G30"/>
      <x:c r="H30"/>
    </x:row>
    <x:row r="31" ht="24" customHeight="1">
      <x:c r="A31" t="str">
        <x:v>4. 最终综合报告在全部迭代结束后再编写。</x:v>
      </x:c>
      <x:c r="B31"/>
      <x:c r="C31"/>
      <x:c r="D31"/>
      <x:c r="E31"/>
      <x:c r="F31"/>
      <x:c r="G31"/>
      <x:c r="H31"/>
    </x:row>
    <x:row r="33">
      <x:c r="A33" s="180" t="str">
        <x:v>后续已完成迭代</x:v>
      </x:c>
    </x:row>
    <x:row r="34">
      <x:c r="A34" s="15" t="str">
        <x:v>迭代</x:v>
      </x:c>
      <x:c r="B34" s="16" t="str">
        <x:v>日期</x:v>
      </x:c>
      <x:c r="C34" s="16" t="str">
        <x:v>核心方案</x:v>
      </x:c>
      <x:c r="D34" s="16" t="str">
        <x:v>验证口径</x:v>
      </x:c>
      <x:c r="E34" s="16" t="str">
        <x:v>Macro F1</x:v>
      </x:c>
      <x:c r="F34" s="16" t="str">
        <x:v>F1 标准差</x:v>
      </x:c>
      <x:c r="G34" s="16" t="str">
        <x:v>Macro AUC</x:v>
      </x:c>
      <x:c r="H34" s="17" t="str">
        <x:v>主要结论</x:v>
      </x:c>
    </x:row>
    <x:row r="35" ht="90" customHeight="1">
      <x:c r="A35" s="181" t="str">
        <x:v>第七次（产物复核）</x:v>
      </x:c>
      <x:c r="B35" s="182" t="d">
        <x:v>2026-09-29T00:00:00.000Z</x:v>
      </x:c>
      <x:c r="C35" s="69" t="str">
        <x:v>标签级融合筛选：当前 EXP-095 自适应产物</x:v>
      </x:c>
      <x:c r="D35" s="69" t="str">
        <x:v>尾段 1,062 样本、500 标签；原产物五 seed 汇总</x:v>
      </x:c>
      <x:c r="E35" s="183" t="n">
        <x:v>0.32430998512037634</x:v>
      </x:c>
      <x:c r="F35" s="184" t="n">
        <x:v>0.013956042497509615</x:v>
      </x:c>
      <x:c r="G35" s="184" t="n">
        <x:v>0.8280838467649557</x:v>
      </x:c>
      <x:c r="H35" s="69" t="str">
        <x:v>与原报告快照不一致，已加审计注释；不替换回退。报告：iteration7-labelwise-weighted</x:v>
      </x:c>
    </x:row>
    <x:row r="36" ht="90" customHeight="1">
      <x:c r="A36" s="181" t="str">
        <x:v>第八次</x:v>
      </x:c>
      <x:c r="B36" s="182" t="d">
        <x:v>2026-09-30T00:00:00.000Z</x:v>
      </x:c>
      <x:c r="C36" s="69" t="str">
        <x:v>25% ESM + 75% 同源/SGD，精确收缩阈值</x:v>
      </x:c>
      <x:c r="D36" s="69" t="str">
        <x:v>固定尾段 1,062 样本、500 标签；五 seed 两折合并</x:v>
      </x:c>
      <x:c r="E36" s="183" t="n">
        <x:v>0.3382479496821853</x:v>
      </x:c>
      <x:c r="F36" s="184" t="n">
        <x:v>0.0010220441855182344</x:v>
      </x:c>
      <x:c r="G36" s="184" t="n">
        <x:v>0.8244919055304825</x:v>
      </x:c>
      <x:c r="H36" s="69" t="str">
        <x:v>EXP-103 为现有完整标签回退；未达到 0.5。报告：iteration8-rank-fusion</x:v>
      </x:c>
    </x:row>
    <x:row r="37" ht="90" customHeight="1">
      <x:c r="A37" s="181" t="str">
        <x:v>联合特征筛选（111）</x:v>
      </x:c>
      <x:c r="B37" s="182" t="d">
        <x:v>2026-09-30T00:00:00.000Z</x:v>
      </x:c>
      <x:c r="C37" s="69" t="str">
        <x:v>k-mer + 0.1 倍 ESM 表征联合 SGD</x:v>
      </x:c>
      <x:c r="D37" s="69" t="str">
        <x:v>固定尾段 1,062 样本、支持度分层 100 标签；五 seed</x:v>
      </x:c>
      <x:c r="E37" s="183" t="n">
        <x:v>0.3184272015000932</x:v>
      </x:c>
      <x:c r="F37" s="184" t="n">
        <x:v>0.001091803390844629</x:v>
      </x:c>
      <x:c r="G37" s="184" t="n">
        <x:v>0.8091421014599195</x:v>
      </x:c>
      <x:c r="H37" s="69" t="str">
        <x:v>仅比配对 k-mer +0.001288；不扩展 500 标签。报告：EXP-20260930-111-hybrid-screen</x:v>
      </x:c>
    </x:row>
    <x:row r="38" ht="90" customHeight="1">
      <x:c r="A38" s="181" t="str">
        <x:v>第九次</x:v>
      </x:c>
      <x:c r="B38" s="182" t="d">
        <x:v>2026-09-30T00:00:00.000Z</x:v>
      </x:c>
      <x:c r="C38" s="69" t="str">
        <x:v>有效支持度分层权重：1 / 1.25 / 1.5（EXP-113）</x:v>
      </x:c>
      <x:c r="D38" s="69" t="str">
        <x:v>固定尾段 1,062 样本、支持度分层 100 标签；五 seed</x:v>
      </x:c>
      <x:c r="E38" s="183" t="n">
        <x:v>0.31683633498451547</x:v>
      </x:c>
      <x:c r="F38" s="184" t="n">
        <x:v>0.0006093002873030889</x:v>
      </x:c>
      <x:c r="G38" s="184" t="n">
        <x:v>0.803282281363617</x:v>
      </x:c>
      <x:c r="H38" s="69" t="str">
        <x:v>配对增益 0.000415，2/5 seed 改善；不扩展。报告：iteration9-labelwise-weight</x:v>
      </x:c>
    </x:row>
    <x:row r="39" ht="90" customHeight="1">
      <x:c r="A39" s="181" t="str">
        <x:v>第十次</x:v>
      </x:c>
      <x:c r="B39" s="182" t="d">
        <x:v>2026-09-30T00:00:00.000Z</x:v>
      </x:c>
      <x:c r="C39" s="69" t="str">
        <x:v>嵌套 OOF 标签链：120k k-mer + 32 个一级 OOF 标签分数</x:v>
      </x:c>
      <x:c r="D39" s="69" t="str">
        <x:v>固定尾段 1,062 样本、支持度分层 100 标签；外层/内层各两折、五 seed</x:v>
      </x:c>
      <x:c r="E39" s="183" t="n">
        <x:v>0.32162199125705476</x:v>
      </x:c>
      <x:c r="F39" s="184" t="n">
        <x:v>0.0013508362891496183</x:v>
      </x:c>
      <x:c r="G39" s="184" t="n">
        <x:v>0.8165524381466841</x:v>
      </x:c>
      <x:c r="H39" s="69" t="str">
        <x:v>比本轮一级基线 +0.005707，五 seed 全部提升；扩展到 500 标签。报告：iteration10-oof-label-chain</x:v>
      </x:c>
    </x:row>
    <x:row r="40" ht="90" customHeight="1">
      <x:c r="A40" s="181" t="str">
        <x:v>第十一次</x:v>
      </x:c>
      <x:c r="B40" s="182" t="d">
        <x:v>2026-09-30T00:00:00.000Z</x:v>
      </x:c>
      <x:c r="C40" s="69" t="str">
        <x:v>500 标签嵌套 OOF；120k k-mer + 64 个上下文；配对一级回退</x:v>
      </x:c>
      <x:c r="D40" s="69" t="str">
        <x:v>固定尾段 1,062 样本、500 标签；外层/内层各两折、五 seed</x:v>
      </x:c>
      <x:c r="E40" s="183" t="n">
        <x:v>0.3096582273393964</x:v>
      </x:c>
      <x:c r="F40" s="184" t="n">
        <x:v>0.0005914280172197297</x:v>
      </x:c>
      <x:c r="G40" s="184" t="n">
        <x:v>0.80573267878405</x:v>
      </x:c>
      <x:c r="H40" s="69" t="str">
        <x:v>二级链 F1 0.309285，较一级下降 0.000373；停用当前配置，生产回退仍为 EXP-103。报告：iteration11-oof-label-chain-full</x:v>
      </x:c>
    </x:row>
    <x:row r="41" ht="90" customHeight="1">
      <x:c r="A41" s="181" t="str">
        <x:v>第十二次</x:v>
      </x:c>
      <x:c r="B41" s="182" t="d">
        <x:v>2026-09-30T00:00:00.000Z</x:v>
      </x:c>
      <x:c r="C41" s="69" t="str">
        <x:v>原始 120k k-mer + 理化性质分组 3–6-mer（权重 0.25）</x:v>
      </x:c>
      <x:c r="D41" s="69" t="str">
        <x:v>固定尾段 1,062 样本、支持度分层 100 标签；五 seed</x:v>
      </x:c>
      <x:c r="E41" s="183" t="n">
        <x:v>0.3172363427171758</x:v>
      </x:c>
      <x:c r="F41" s="184" t="n">
        <x:v>0.0012993118180230946</x:v>
      </x:c>
      <x:c r="G41" s="184" t="n">
        <x:v>0.8049595379911301</x:v>
      </x:c>
      <x:c r="H41" s="69" t="str">
        <x:v>较配对原始 k-mer +0.000814；预测正例率上升，不扩展 500 标签。报告：iteration12-grouped-kmer</x:v>
      </x:c>
    </x:row>
    <x:row r="42" ht="90" customHeight="1">
      <x:c r="A42" s="181" t="str">
        <x:v>第十三次（校准诊断）</x:v>
      </x:c>
      <x:c r="B42" s="182" t="d">
        <x:v>2026-09-30T00:00:00.000Z</x:v>
      </x:c>
      <x:c r="C42" s="69" t="str">
        <x:v>EXP-103 连续分数的支持度分层 OOF Platt 校准</x:v>
      </x:c>
      <x:c r="D42" s="69" t="str">
        <x:v>固定尾段 1,062 样本、500 标签；五个校准 seed 与五个阈值 seed</x:v>
      </x:c>
      <x:c r="E42" s="183" t="n">
        <x:v>0.3364394001088342</x:v>
      </x:c>
      <x:c r="F42" s="184" t="n">
        <x:v>0.0017912847145465293</x:v>
      </x:c>
      <x:c r="G42" s="184" t="n">
        <x:v>0.8236168289363767</x:v>
      </x:c>
      <x:c r="H42" s="69" t="str">
        <x:v>正例率下降但 F1 下降 0.001943；校准不能替代排序改进，诊断结果不替换 EXP-103。报告：iteration13-prior-calibration</x:v>
      </x:c>
    </x:row>
    <x:row r="43" ht="90" customHeight="1">
      <x:c r="A43" s="181" t="str">
        <x:v>第十四次（误差诊断）</x:v>
      </x:c>
      <x:c r="B43" s="182" t="d">
        <x:v>2026-09-30T00:00:00.000Z</x:v>
      </x:c>
      <x:c r="C43" s="69" t="str">
        <x:v>EXP-103 逐标签 classification_report、混淆矩阵与 20 条过拟合测试</x:v>
      </x:c>
      <x:c r="D43" s="69" t="str">
        <x:v>固定尾段 1,062 样本、500 标签；seed-42 两折阈值交叉拟合</x:v>
      </x:c>
      <x:c r="E43" s="183" t="n">
        <x:v>0.3385517949962983</x:v>
      </x:c>
      <x:c r="F43" s="184" t="n">
        <x:v>0</x:v>
      </x:c>
      <x:c r="G43" s="184" t="n">
        <x:v>0.8244919055304825</x:v>
      </x:c>
      <x:c r="H43" s="69" t="str">
        <x:v>70 个标签验证正例不超过 10；identity+RF 过拟合 F1=1.0，确认瓶颈在低频表示与排序；已转 focal BCE。报告：iteration14-f1-diagnostics</x:v>
      </x:c>
    </x:row>
    <x:row r="44" ht="90" customHeight="1">
      <x:c r="A44" s="181" t="str">
        <x:v>第十五次（ESM 审计与 EXP-117 复核）</x:v>
      </x:c>
      <x:c r="B44" s="182" t="d">
        <x:v>2026-09-30T00:00:00.000Z</x:v>
      </x:c>
      <x:c r="C44" s="69" t="str">
        <x:v>ESM-2 35M 最后4层微调1 epoch；模型身份、标签列和窗口审计</x:v>
      </x:c>
      <x:c r="D44" s="69" t="str">
        <x:v>固定尾段 1,062 样本、500 标签；与 EXP-103 相同五 seed 精确收缩阈值</x:v>
      </x:c>
      <x:c r="E44" s="183" t="n">
        <x:v>0.152413970473923</x:v>
      </x:c>
      <x:c r="F44" s="184" t="n">
        <x:v>0.0011034887891825274</x:v>
      </x:c>
      <x:c r="G44" s="184" t="n">
        <x:v>0.6994043221362165</x:v>
      </x:c>
      <x:c r="H44" s="69" t="str">
        <x:v>ESM 单源 F1 0.152414；过预测18.08%；单窗口 AUC仍仅0.702856；125多轮对照运行中，不替换103。报告：EXP-20260930-126-esm-provenance-audit</x:v>
      </x:c>
    </x:row>
    <x:row r="45" ht="90" customHeight="1">
      <x:c r="A45" s="181" t="str">
        <x:v>第十六次（EXP-125 轮数斜率）</x:v>
      </x:c>
      <x:c r="B45" s="182" t="d">
        <x:v>2026-09-30T00:00:00.000Z</x:v>
      </x:c>
      <x:c r="C45" s="69" t="str">
        <x:v>ESM-2 35M 最后4层微调；仅将 EXP-117 的 1 epoch 延长至 3 epoch</x:v>
      </x:c>
      <x:c r="D45" s="69" t="str">
        <x:v>固定尾段 1,062 样本、500 标签；五 seed 精确收缩阈值、两折预测合并</x:v>
      </x:c>
      <x:c r="E45" s="183" t="n">
        <x:v>0.18368143481351412</x:v>
      </x:c>
      <x:c r="F45" s="184" t="n">
        <x:v>0.0015756512130494964</x:v>
      </x:c>
      <x:c r="G45" s="184" t="n">
        <x:v>0.7296348412241555</x:v>
      </x:c>
      <x:c r="H45" s="69" t="str">
        <x:v>AUC 0.699419→0.712810→0.729635；两段增量+0.013391/+0.016825，未趋平，优先延长训练再试池化；不替换103。报告：EXP-20260930-125-esm35-epoch-slope</x:v>
      </x:c>
    </x:row>
    <x:row r="46" ht="90" customHeight="1">
      <x:c r="A46" s="181" t="str">
        <x:v>第十七次（EXP-127 十轮曲线）</x:v>
      </x:c>
      <x:c r="B46" s="182" t="d">
        <x:v>2026-10-01T00:00:00.000Z</x:v>
      </x:c>
      <x:c r="C46" s="69" t="str">
        <x:v>ESM-2 35M 最后4层；EXP-125 同配置从头训练10 epoch，登记默认F1最佳 epoch7</x:v>
      </x:c>
      <x:c r="D46" s="69" t="str">
        <x:v>固定尾段 1,062 样本、500 标签；五 seed 精确收缩阈值、两折预测合并</x:v>
      </x:c>
      <x:c r="E46" s="183" t="n">
        <x:v>0.2103184657752572</x:v>
      </x:c>
      <x:c r="F46" s="184" t="n">
        <x:v>0.0011201275924408972</x:v>
      </x:c>
      <x:c r="G46" s="184" t="n">
        <x:v>0.7735074555714117</x:v>
      </x:c>
      <x:c r="H46" s="69" t="str">
        <x:v>首次减速e5，e6反弹后趋平；e7→10平均斜率+0.000138。AUC峰e8，校准F1峰e6；登记保存的e7，不盲目加轮。报告：EXP-127十轮曲线。</x:v>
      </x:c>
    </x:row>
  </x:sheetData>
  <x:mergeCells>
    <x:mergeCell ref="A18:H19"/>
    <x:mergeCell ref="A23:H23"/>
    <x:mergeCell ref="A24:H24"/>
    <x:mergeCell ref="A25:H25"/>
    <x:mergeCell ref="J17:Q17"/>
    <x:mergeCell ref="J18:Q20"/>
    <x:mergeCell ref="A27:H27"/>
    <x:mergeCell ref="A28:H28"/>
    <x:mergeCell ref="A29:H29"/>
    <x:mergeCell ref="A30:H30"/>
    <x:mergeCell ref="A31:H31"/>
  </x:mergeCells>
  <x:conditionalFormatting sqref="B12:B14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e9c8a437ab3247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5" max="5" width="27" hidden="0" customWidth="1"/>
    <x:col min="6" max="6" width="16" hidden="0" customWidth="1"/>
    <x:col min="8" max="8" width="22" hidden="0" customWidth="1"/>
    <x:col min="9" max="9" width="16" hidden="0" customWidth="1"/>
  </x:cols>
  <x:sheetData>
    <x:row r="1">
      <x:c r="A1" s="180" t="str">
        <x:v>趋势图来源：公式链接登记表，分开显示不同验证口径</x:v>
      </x:c>
      <x:c r="B1" s="180"/>
      <x:c r="C1" s="180"/>
      <x:c r="D1" s="180"/>
      <x:c r="E1" s="180"/>
      <x:c r="F1" s="180"/>
      <x:c r="G1" s="180"/>
      <x:c r="H1" s="180"/>
      <x:c r="I1" s="180"/>
    </x:row>
    <x:row r="2">
      <x:c r="A2" s="180" t="str">
        <x:v>完整 500 标签目标 Macro F1</x:v>
      </x:c>
      <x:c r="B2" s="180" t="n">
        <x:v>0.5</x:v>
      </x:c>
      <x:c r="C2" s="180"/>
      <x:c r="D2" s="180"/>
      <x:c r="E2" s="180"/>
      <x:c r="F2" s="180"/>
      <x:c r="G2" s="180"/>
      <x:c r="H2" s="180"/>
      <x:c r="I2" s="180"/>
    </x:row>
    <x:row r="4">
      <x:c r="A4" s="191" t="str">
        <x:v>迭代</x:v>
      </x:c>
      <x:c r="B4" s="191" t="str">
        <x:v>Macro F1</x:v>
      </x:c>
      <x:c r="C4" s="191" t="str">
        <x:v>目标 0.5</x:v>
      </x:c>
      <x:c r="E4" s="191" t="str">
        <x:v>筛选实验</x:v>
      </x:c>
      <x:c r="F4" s="191" t="str">
        <x:v>Macro F1</x:v>
      </x:c>
      <x:c r="H4" s="191" t="str">
        <x:v>历史随机验证</x:v>
      </x:c>
      <x:c r="I4" s="191" t="str">
        <x:v>Macro F1</x:v>
      </x:c>
    </x:row>
    <x:row r="5">
      <x:c r="A5" t="str">
        <x:f>'迭代趋势'!A8</x:f>
        <x:v>第三次</x:v>
      </x:c>
      <x:c r="B5" s="185" t="n">
        <x:f>'迭代趋势'!E8</x:f>
        <x:v>0.3215169269432081</x:v>
      </x:c>
      <x:c r="C5" t="n">
        <x:f>$B$2</x:f>
        <x:v>0.5</x:v>
      </x:c>
      <x:c r="E5" t="str">
        <x:f>'迭代趋势'!A37</x:f>
        <x:v>联合特征筛选（111）</x:v>
      </x:c>
      <x:c r="F5" s="185" t="n">
        <x:f>'迭代趋势'!E37</x:f>
        <x:v>0.3184272015000932</x:v>
      </x:c>
      <x:c r="H5" t="str">
        <x:f>'迭代趋势'!A6</x:f>
        <x:v>第一次</x:v>
      </x:c>
      <x:c r="I5" s="185" t="n">
        <x:f>'迭代趋势'!E6</x:f>
        <x:v>0.3799564929582331</x:v>
      </x:c>
    </x:row>
    <x:row r="6">
      <x:c r="A6" t="str">
        <x:f>'迭代趋势'!A9</x:f>
        <x:v>第四次</x:v>
      </x:c>
      <x:c r="B6" s="185" t="n">
        <x:f>'迭代趋势'!E9</x:f>
        <x:v>0.32419172996031437</x:v>
      </x:c>
      <x:c r="C6" t="n">
        <x:f>$B$2</x:f>
        <x:v>0.5</x:v>
      </x:c>
      <x:c r="E6" t="str">
        <x:f>'迭代趋势'!A38</x:f>
        <x:v>第九次</x:v>
      </x:c>
      <x:c r="F6" s="185" t="n">
        <x:f>'迭代趋势'!E38</x:f>
        <x:v>0.31683633498451547</x:v>
      </x:c>
      <x:c r="H6" t="str">
        <x:f>'迭代趋势'!A7</x:f>
        <x:v>第二次</x:v>
      </x:c>
      <x:c r="I6" s="185" t="n">
        <x:f>'迭代趋势'!E7</x:f>
        <x:v>0.24636956251082398</x:v>
      </x:c>
    </x:row>
    <x:row r="7">
      <x:c r="A7" t="str">
        <x:f>'迭代趋势'!A10</x:f>
        <x:v>第五次</x:v>
      </x:c>
      <x:c r="B7" s="185" t="n">
        <x:f>'迭代趋势'!E10</x:f>
        <x:v>0.3351783934801672</x:v>
      </x:c>
      <x:c r="C7" t="n">
        <x:f>$B$2</x:f>
        <x:v>0.5</x:v>
      </x:c>
      <x:c r="E7" t="str">
        <x:f>'迭代趋势'!A39</x:f>
        <x:v>第十次</x:v>
      </x:c>
      <x:c r="F7" s="185" t="n">
        <x:f>'迭代趋势'!E39</x:f>
        <x:v>0.32162199125705476</x:v>
      </x:c>
    </x:row>
    <x:row r="8">
      <x:c r="A8" t="str">
        <x:f>'迭代趋势'!A11</x:f>
        <x:v>第六次</x:v>
      </x:c>
      <x:c r="B8" s="185" t="n">
        <x:f>'迭代趋势'!E11</x:f>
        <x:v>0.3242434409979672</x:v>
      </x:c>
      <x:c r="C8" t="n">
        <x:f>$B$2</x:f>
        <x:v>0.5</x:v>
      </x:c>
      <x:c r="E8" t="str">
        <x:f>'迭代趋势'!A41</x:f>
        <x:v>第十二次</x:v>
      </x:c>
      <x:c r="F8" s="185" t="n">
        <x:f>'迭代趋势'!E41</x:f>
        <x:v>0.3172363427171758</x:v>
      </x:c>
    </x:row>
    <x:row r="9">
      <x:c r="A9" t="str">
        <x:f>'迭代趋势'!A35</x:f>
        <x:v>第七次（产物复核）</x:v>
      </x:c>
      <x:c r="B9" s="185" t="n">
        <x:f>'迭代趋势'!E35</x:f>
        <x:v>0.32430998512037634</x:v>
      </x:c>
      <x:c r="C9" t="n">
        <x:f>$B$2</x:f>
        <x:v>0.5</x:v>
      </x:c>
    </x:row>
    <x:row r="10">
      <x:c r="A10" t="str">
        <x:f>'迭代趋势'!A36</x:f>
        <x:v>第八次</x:v>
      </x:c>
      <x:c r="B10" s="185" t="n">
        <x:f>'迭代趋势'!E36</x:f>
        <x:v>0.3382479496821853</x:v>
      </x:c>
      <x:c r="C10" t="n">
        <x:f>$B$2</x:f>
        <x:v>0.5</x:v>
      </x:c>
    </x:row>
    <x:row r="11">
      <x:c r="A11" t="str">
        <x:f>'迭代趋势'!A40</x:f>
        <x:v>第十一次</x:v>
      </x:c>
      <x:c r="B11" s="185" t="n">
        <x:f>'迭代趋势'!E40</x:f>
        <x:v>0.3096582273393964</x:v>
      </x:c>
      <x:c r="C11" t="n">
        <x:f>$B$2</x:f>
        <x:v>0.5</x:v>
      </x:c>
    </x:row>
    <x:row r="12">
      <x:c r="A12" t="str">
        <x:f>'迭代趋势'!A42</x:f>
        <x:v>第十三次（校准诊断）</x:v>
      </x:c>
      <x:c r="B12" s="185" t="n">
        <x:f>'迭代趋势'!E42</x:f>
        <x:v>0.3364394001088342</x:v>
      </x:c>
      <x:c r="C12" t="n">
        <x:f>$B$2</x:f>
        <x:v>0.5</x:v>
      </x:c>
    </x:row>
    <x:row r="13">
      <x:c r="A13" t="str">
        <x:f>'迭代趋势'!A43</x:f>
        <x:v>第十四次（误差诊断）</x:v>
      </x:c>
      <x:c r="B13" s="185" t="n">
        <x:f>'迭代趋势'!E43</x:f>
        <x:v>0.3385517949962983</x:v>
      </x:c>
      <x:c r="C13" t="n">
        <x:f>$B$2</x:f>
        <x:v>0.5</x:v>
      </x:c>
    </x:row>
    <x:row r="14">
      <x:c r="A14" t="str">
        <x:f>'迭代趋势'!A44</x:f>
        <x:v>第十五次（ESM 审计与 EXP-117 复核）</x:v>
      </x:c>
      <x:c r="B14" s="185" t="n">
        <x:f>'迭代趋势'!E44</x:f>
        <x:v>0.152413970473923</x:v>
      </x:c>
      <x:c r="C14" t="n">
        <x:f>$B$2</x:f>
        <x:v>0.5</x:v>
      </x:c>
    </x:row>
    <x:row r="15">
      <x:c r="A15" t="str">
        <x:f>'迭代趋势'!A45</x:f>
        <x:v>第十六次（EXP-125 轮数斜率）</x:v>
      </x:c>
      <x:c r="B15" s="185" t="n">
        <x:f>'迭代趋势'!E45</x:f>
        <x:v>0.18368143481351412</x:v>
      </x:c>
      <x:c r="C15" t="n">
        <x:f>$B$2</x:f>
        <x:v>0.5</x:v>
      </x:c>
    </x:row>
    <x:row r="16">
      <x:c r="A16" t="str">
        <x:f>'迭代趋势'!A46</x:f>
        <x:v>第十七次（EXP-127 十轮曲线）</x:v>
      </x:c>
      <x:c r="B16" s="185" t="n">
        <x:f>'迭代趋势'!E46</x:f>
        <x:v>0.2103184657752572</x:v>
      </x:c>
      <x:c r="C16" t="n">
        <x:f>$B$2</x:f>
        <x:v>0.5</x:v>
      </x:c>
    </x:row>
    <x:row r="17">
      <x:c r="A17"/>
    </x:row>
    <x:row r="18">
      <x:c r="A18"/>
    </x:row>
    <x:row r="19">
      <x:c r="A19" t="str">
        <x:v>尾段图只包含 500 标签结果；方法与校准协议仍会变化，不能当作线上成绩。</x:v>
      </x:c>
    </x:row>
    <x:row r="20">
      <x:c r="A20" t="str">
        <x:v>100 标签筛选单列；随机验证历史单列，不与尾段成绩连接。</x:v>
      </x:c>
    </x:row>
  </x:sheetData>
  <x:pageMargins left="0.7" right="0.7" top="0.75" bottom="0.75" header="0.3" footer="0.3"/>
</x:worksheet>
</file>